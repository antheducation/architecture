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Prix de revient" sheetId="2" state="visible" r:id="rId2"/>
    <sheet xmlns:r="http://schemas.openxmlformats.org/officeDocument/2006/relationships" name="Prix de vente" sheetId="3" state="visible" r:id="rId3"/>
    <sheet xmlns:r="http://schemas.openxmlformats.org/officeDocument/2006/relationships" name="Synthè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F&quot;"/>
    <numFmt numFmtId="165" formatCode="#,##0.000"/>
    <numFmt numFmtId="166" formatCode="#,##0.00 &quot;$&quot;;(#,##0.00);-"/>
    <numFmt numFmtId="167" formatCode="#,##0 &quot;F&quot;;(#,##0) &quot;F&quot;;-"/>
    <numFmt numFmtId="168" formatCode="0.0%"/>
    <numFmt numFmtId="169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D3D6B"/>
      <sz val="14"/>
    </font>
    <font>
      <name val="Arial"/>
      <i val="1"/>
      <sz val="9"/>
    </font>
    <font>
      <name val="Arial"/>
      <b val="1"/>
      <color rgb="000D3D6B"/>
      <sz val="11"/>
    </font>
    <font>
      <name val="Arial"/>
      <sz val="10"/>
    </font>
    <font>
      <name val="Arial"/>
      <color rgb="000000FF"/>
      <sz val="10"/>
    </font>
    <font>
      <name val="Arial"/>
      <i val="1"/>
      <color rgb="00606060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8000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  <fill>
      <patternFill patternType="solid">
        <fgColor rgb="001F4E9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7" fontId="4" fillId="0" borderId="0" pivotButton="0" quotePrefix="0" xfId="0"/>
    <xf numFmtId="168" fontId="5" fillId="3" borderId="0" pivotButton="0" quotePrefix="0" xfId="0"/>
    <xf numFmtId="167" fontId="5" fillId="3" borderId="0" pivotButton="0" quotePrefix="0" xfId="0"/>
    <xf numFmtId="0" fontId="3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9" fontId="5" fillId="0" borderId="1" pivotButton="0" quotePrefix="0" xfId="0"/>
    <xf numFmtId="165" fontId="5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8" fontId="4" fillId="0" borderId="1" pivotButton="0" quotePrefix="0" xfId="0"/>
    <xf numFmtId="0" fontId="8" fillId="5" borderId="1" pivotButton="0" quotePrefix="0" xfId="0"/>
    <xf numFmtId="166" fontId="8" fillId="5" borderId="1" pivotButton="0" quotePrefix="0" xfId="0"/>
    <xf numFmtId="167" fontId="8" fillId="5" borderId="1" pivotButton="0" quotePrefix="0" xfId="0"/>
    <xf numFmtId="169" fontId="8" fillId="5" borderId="1" pivotButton="0" quotePrefix="0" xfId="0"/>
    <xf numFmtId="165" fontId="8" fillId="5" borderId="1" pivotButton="0" quotePrefix="0" xfId="0"/>
    <xf numFmtId="3" fontId="8" fillId="5" borderId="1" pivotButton="0" quotePrefix="0" xfId="0"/>
    <xf numFmtId="168" fontId="8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9" fillId="0" borderId="1" pivotButton="0" quotePrefix="0" xfId="0"/>
    <xf numFmtId="167" fontId="9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7" fontId="5" fillId="3" borderId="1" pivotButton="0" quotePrefix="0" xfId="0"/>
    <xf numFmtId="0" fontId="8" fillId="5" borderId="0" pivotButton="0" quotePrefix="0" xfId="0"/>
    <xf numFmtId="167" fontId="8" fillId="5" borderId="0" pivotButton="0" quotePrefix="0" xfId="0"/>
    <xf numFmtId="0" fontId="6" fillId="5" borderId="0" pivotButton="0" quotePrefix="0" xfId="0"/>
    <xf numFmtId="0" fontId="8" fillId="3" borderId="0" pivotButton="0" quotePrefix="0" xfId="0"/>
    <xf numFmtId="167" fontId="8" fillId="3" borderId="0" pivotButton="0" quotePrefix="0" xfId="0"/>
    <xf numFmtId="0" fontId="6" fillId="3" borderId="0" pivotButton="0" quotePrefix="0" xfId="0"/>
    <xf numFmtId="0" fontId="8" fillId="0" borderId="0" pivotButton="0" quotePrefix="0" xfId="0"/>
    <xf numFmtId="167" fontId="8" fillId="0" borderId="0" pivotButton="0" quotePrefix="0" xfId="0"/>
    <xf numFmtId="168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72" customWidth="1" min="3" max="3"/>
  </cols>
  <sheetData>
    <row r="1">
      <c r="A1" s="1" t="inlineStr">
        <is>
          <t>HYPOTHÈSES DE CALCUL — IMPORTATION DE MACHINES AGRICOLES ZENO (CHINE) → NIAMEY</t>
        </is>
      </c>
    </row>
    <row r="2">
      <c r="A2" s="2" t="inlineStr">
        <is>
          <t>Cellules en BLEU = à saisir / à ajuster.  Cellules en NOIR = calculées.  Fond jaune = hypothèse à confirmer.</t>
        </is>
      </c>
    </row>
    <row r="4">
      <c r="A4" s="3" t="inlineStr">
        <is>
          <t>1. CHANGE</t>
        </is>
      </c>
      <c r="B4" s="4" t="n"/>
      <c r="C4" s="4" t="n"/>
    </row>
    <row r="5">
      <c r="A5" s="5" t="inlineStr">
        <is>
          <t>Taux de change  1 USD =</t>
        </is>
      </c>
      <c r="B5" s="6" t="n">
        <v>560</v>
      </c>
      <c r="C5" s="7" t="inlineStr">
        <is>
          <t>Moyenne 2026 : 559 XOF/USD (exchange-rates.org). 560 retenu par prudence.</t>
        </is>
      </c>
    </row>
    <row r="7">
      <c r="A7" s="3" t="inlineStr">
        <is>
          <t>2. EMBALLAGE (caisses bois export)</t>
        </is>
      </c>
      <c r="B7" s="4" t="n"/>
      <c r="C7" s="4" t="n"/>
    </row>
    <row r="8">
      <c r="A8" s="5" t="inlineStr">
        <is>
          <t>Coefficient de majoration du volume</t>
        </is>
      </c>
      <c r="B8" s="8" t="n">
        <v>1.15</v>
      </c>
      <c r="C8" s="7" t="inlineStr">
        <is>
          <t>Caisse bois : +15 % sur le volume machine.</t>
        </is>
      </c>
    </row>
    <row r="9">
      <c r="A9" s="5" t="inlineStr">
        <is>
          <t>Coefficient de majoration du poids</t>
        </is>
      </c>
      <c r="B9" s="8" t="n">
        <v>1.12</v>
      </c>
      <c r="C9" s="7" t="inlineStr">
        <is>
          <t>Caisse bois : +12 % sur le poids machine.</t>
        </is>
      </c>
    </row>
    <row r="11">
      <c r="A11" s="3" t="inlineStr">
        <is>
          <t>3. LOGISTIQUE — 1 conteneur 20' (Qingdao → Lomé → Niamey)</t>
        </is>
      </c>
      <c r="B11" s="4" t="n"/>
      <c r="C11" s="4" t="n"/>
    </row>
    <row r="12">
      <c r="A12" s="5" t="inlineStr">
        <is>
          <t>Fret maritime Qingdao → Lomé, 20' FCL (USD)</t>
        </is>
      </c>
      <c r="B12" s="9" t="n">
        <v>1900</v>
      </c>
      <c r="C12" s="7" t="inlineStr">
        <is>
          <t>Marché 2026 Chine → Lomé : 1 350 à 1 950 USD port à port, surcharges incluses.</t>
        </is>
      </c>
    </row>
    <row r="13">
      <c r="A13" s="5" t="inlineStr">
        <is>
          <t>Fret maritime (FCFA)</t>
        </is>
      </c>
      <c r="B13" s="10">
        <f>'Hypothèses'!B12*'Hypothèses'!B5</f>
        <v/>
      </c>
      <c r="C13" s="7" t="inlineStr">
        <is>
          <t>Fret en dollars × taux de change</t>
        </is>
      </c>
    </row>
    <row r="14">
      <c r="A14" s="5" t="inlineStr">
        <is>
          <t>Assurance transport (% de FOB + fret)</t>
        </is>
      </c>
      <c r="B14" s="11" t="n">
        <v>0.005</v>
      </c>
      <c r="C14" s="7" t="inlineStr">
        <is>
          <t>Police ad valorem usuelle : 0,4 à 0,7 %.</t>
        </is>
      </c>
    </row>
    <row r="15">
      <c r="A15" s="5" t="inlineStr">
        <is>
          <t>Frais portuaires Lomé, THC, transit maritime</t>
        </is>
      </c>
      <c r="B15" s="12" t="n">
        <v>450000</v>
      </c>
      <c r="C15" s="7" t="inlineStr">
        <is>
          <t>À confirmer par le transitaire.</t>
        </is>
      </c>
    </row>
    <row r="16">
      <c r="A16" s="5" t="inlineStr">
        <is>
          <t>Transport routier Lomé → Niamey (conteneur 20')</t>
        </is>
      </c>
      <c r="B16" s="12" t="n">
        <v>1600000</v>
      </c>
      <c r="C16" s="7" t="inlineStr">
        <is>
          <t>Corridor Lomé : ~1 300 000 F/20' vers Ouagadougou ; majoré pour Niamey (~1 250 km).</t>
        </is>
      </c>
    </row>
    <row r="17">
      <c r="A17" s="5" t="inlineStr">
        <is>
          <t>Transit, dédouanement et manutention à Niamey</t>
        </is>
      </c>
      <c r="B17" s="12" t="n">
        <v>350000</v>
      </c>
      <c r="C17" s="7" t="inlineStr">
        <is>
          <t>Honoraires transitaire + frais de dossier.</t>
        </is>
      </c>
    </row>
    <row r="18">
      <c r="A18" s="5" t="inlineStr">
        <is>
          <t>Inspection avant embarquement (% du FOB)</t>
        </is>
      </c>
      <c r="B18" s="11" t="n">
        <v>0.01</v>
      </c>
      <c r="C18" s="7" t="inlineStr">
        <is>
          <t>Programme de vérification des importations (COTECNA).</t>
        </is>
      </c>
    </row>
    <row r="19">
      <c r="A19" s="5" t="inlineStr">
        <is>
          <t>Frais bancaires et transfert international (% du FOB)</t>
        </is>
      </c>
      <c r="B19" s="11" t="n">
        <v>0.015</v>
      </c>
      <c r="C19" s="7" t="inlineStr">
        <is>
          <t>Ouverture de dossier, commissions, 50 % d'acompte TT.</t>
        </is>
      </c>
    </row>
    <row r="20">
      <c r="A20" s="5" t="inlineStr">
        <is>
          <t>Stockage et manutention magasin Niamey</t>
        </is>
      </c>
      <c r="B20" s="12" t="n">
        <v>200000</v>
      </c>
      <c r="C20" s="7" t="inlineStr">
        <is>
          <t>Déchargement, mise en magasin, calage.</t>
        </is>
      </c>
    </row>
    <row r="21">
      <c r="A21" s="5" t="inlineStr">
        <is>
          <t>Provision SAV et garantie 1 an (% du revient)</t>
        </is>
      </c>
      <c r="B21" s="11" t="n">
        <v>0.02</v>
      </c>
      <c r="C21" s="7" t="inlineStr">
        <is>
          <t>Pièces d'usure et interventions sous garantie.</t>
        </is>
      </c>
    </row>
    <row r="23">
      <c r="A23" s="3" t="inlineStr">
        <is>
          <t>4. DROITS ET TAXES À L'IMPORT — NIGER (TEC UEMOA/CEDEAO), base CAF</t>
        </is>
      </c>
      <c r="B23" s="4" t="n"/>
      <c r="C23" s="4" t="n"/>
    </row>
    <row r="24">
      <c r="A24" s="5" t="inlineStr">
        <is>
          <t>Droit de douane (DD) — catégorie 1, biens d'équipement</t>
        </is>
      </c>
      <c r="B24" s="11" t="n">
        <v>0.05</v>
      </c>
      <c r="C24" s="7" t="inlineStr">
        <is>
          <t>Machines agricoles SH 8433/8436/8479 : catégorie 1 = 5 %. À FAIRE CONFIRMER par le transitaire.</t>
        </is>
      </c>
    </row>
    <row r="25">
      <c r="A25" s="5" t="inlineStr">
        <is>
          <t>Redevance statistique (RS)</t>
        </is>
      </c>
      <c r="B25" s="11" t="n">
        <v>0.01</v>
      </c>
      <c r="C25" s="7" t="inlineStr"/>
    </row>
    <row r="26">
      <c r="A26" s="5" t="inlineStr">
        <is>
          <t>Prélèvement communautaire de solidarité (PCS-UEMOA)</t>
        </is>
      </c>
      <c r="B26" s="11" t="n">
        <v>0.01</v>
      </c>
      <c r="C26" s="7" t="inlineStr"/>
    </row>
    <row r="27">
      <c r="A27" s="5" t="inlineStr">
        <is>
          <t>Prélèvement communautaire (PC-CEDEAO)</t>
        </is>
      </c>
      <c r="B27" s="11" t="n">
        <v>0.005</v>
      </c>
      <c r="C27" s="7" t="inlineStr"/>
    </row>
    <row r="28">
      <c r="A28" s="5" t="inlineStr">
        <is>
          <t>TVA à l'import (récupérable)</t>
        </is>
      </c>
      <c r="B28" s="11" t="n">
        <v>0.19</v>
      </c>
      <c r="C28" s="7" t="inlineStr">
        <is>
          <t>Taux de droit commun au Niger. Récupérable : hors prix de revient.</t>
        </is>
      </c>
    </row>
    <row r="29">
      <c r="A29" s="5" t="inlineStr">
        <is>
          <t>Acompte ISB/AIB (imputable)</t>
        </is>
      </c>
      <c r="B29" s="11" t="n">
        <v>0.02</v>
      </c>
      <c r="C29" s="7" t="inlineStr">
        <is>
          <t>Imputable sur l'impôt sur les bénéfices : hors prix de revient.</t>
        </is>
      </c>
    </row>
    <row r="31">
      <c r="A31" s="3" t="inlineStr">
        <is>
          <t>5. POLITIQUE DE PRIX (coefficient appliqué au prix de revient)</t>
        </is>
      </c>
      <c r="B31" s="4" t="n"/>
      <c r="C31" s="4" t="n"/>
    </row>
    <row r="32">
      <c r="A32" s="5" t="inlineStr">
        <is>
          <t>Scénario PRUDENT</t>
        </is>
      </c>
      <c r="B32" s="8" t="n">
        <v>1.45</v>
      </c>
      <c r="C32" s="7" t="inlineStr">
        <is>
          <t>Prix d'attaque / marchés à forte concurrence.</t>
        </is>
      </c>
    </row>
    <row r="33">
      <c r="A33" s="5" t="inlineStr">
        <is>
          <t>Scénario CONSEILLÉ</t>
        </is>
      </c>
      <c r="B33" s="8" t="n">
        <v>1.7</v>
      </c>
      <c r="C33" s="7" t="inlineStr">
        <is>
          <t>Positionnement de référence, cohérent avec le marché ouest-africain.</t>
        </is>
      </c>
    </row>
    <row r="34">
      <c r="A34" s="5" t="inlineStr">
        <is>
          <t>Scénario PREMIUM</t>
        </is>
      </c>
      <c r="B34" s="8" t="n">
        <v>1.9</v>
      </c>
      <c r="C34" s="7" t="inlineStr">
        <is>
          <t>Vente à l'unité, avec installation, formation et SAV.</t>
        </is>
      </c>
    </row>
    <row r="35">
      <c r="A35" s="5" t="inlineStr">
        <is>
          <t>Arrondi commercial des prix de vente (FCFA)</t>
        </is>
      </c>
      <c r="B35" s="12" t="n">
        <v>5000</v>
      </c>
      <c r="C35" s="7" t="inlineStr">
        <is>
          <t>Les prix de vente sont arrondis à ce multiple.</t>
        </is>
      </c>
    </row>
    <row r="37">
      <c r="A37" s="13" t="inlineStr">
        <is>
          <t>SOURCES ET AVERTISSEMENTS</t>
        </is>
      </c>
    </row>
    <row r="38">
      <c r="A38" s="2" t="inlineStr">
        <is>
          <t>• Prix fournisseur : cotation ZHENGZHOU ZENO MACHINERY CO., LTD du 19 août 2026, FOB Qingdao, MOQ 10 unités par modèle.</t>
        </is>
      </c>
    </row>
    <row r="39">
      <c r="A39" s="2" t="inlineStr">
        <is>
          <t>• Délai fournisseur : 15 jours après paiement. Paiement : 50 % d'acompte TT, solde avant expédition. Garantie machine : 1 an.</t>
        </is>
      </c>
    </row>
    <row r="40">
      <c r="A40" s="2" t="inlineStr">
        <is>
          <t>• Les coûts logistiques et les droits sont des ESTIMATIONS : faire confirmer par le transitaire et le bureau de douane avant engagement.</t>
        </is>
      </c>
    </row>
    <row r="41">
      <c r="A41" s="2" t="inlineStr">
        <is>
          <t>• La TVA et l'acompte ISB sont récupérables/imputables : ils ne figurent pas dans le prix de revient mais pèsent sur la trésorerie.</t>
        </is>
      </c>
    </row>
    <row r="42">
      <c r="A42" s="2" t="inlineStr">
        <is>
          <t>• Les prix de marché servant de repère proviennent de distributeurs ouest-africains ; à confirmer par un relevé sur le marché de Niamey.</t>
        </is>
      </c>
    </row>
  </sheetData>
  <mergeCells count="5">
    <mergeCell ref="A42:C42"/>
    <mergeCell ref="A41:C41"/>
    <mergeCell ref="A40:C40"/>
    <mergeCell ref="A39:C39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1" customWidth="1" min="3" max="3"/>
    <col width="6" customWidth="1" min="4" max="4"/>
    <col width="11" customWidth="1" min="5" max="5"/>
    <col width="12" customWidth="1" min="6" max="6"/>
    <col width="14" customWidth="1" min="7" max="7"/>
    <col width="10" customWidth="1" min="8" max="8"/>
    <col width="8" customWidth="1" min="9" max="9"/>
    <col width="8" customWidth="1" min="10" max="10"/>
    <col width="8" customWidth="1" min="11" max="11"/>
    <col width="13" customWidth="1" min="12" max="12"/>
    <col width="11" customWidth="1" min="13" max="13"/>
    <col width="12" customWidth="1" min="14" max="14"/>
    <col width="9" customWidth="1" min="15" max="15"/>
    <col width="9" customWidth="1" min="16" max="16"/>
    <col width="14" customWidth="1" min="17" max="17"/>
    <col width="12" customWidth="1" min="18" max="18"/>
    <col width="15" customWidth="1" min="19" max="19"/>
    <col width="12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6" customWidth="1" min="26" max="26"/>
    <col width="15" customWidth="1" min="27" max="27"/>
    <col width="13" customWidth="1" min="28" max="28"/>
    <col width="12" customWidth="1" min="29" max="29"/>
  </cols>
  <sheetData>
    <row r="1">
      <c r="A1" s="1" t="inlineStr">
        <is>
          <t>PRIX DE REVIENT RENDU NIAMEY — DÉDOUANÉ, EN MAGASIN</t>
        </is>
      </c>
    </row>
    <row r="2">
      <c r="A2" s="2" t="inlineStr">
        <is>
          <t>Fret, transport routier, frais portuaires et stockage répartis au PRORATA DU VOLUME ; assurance, inspection et frais bancaires au PRORATA DE LA VALEUR.</t>
        </is>
      </c>
    </row>
    <row r="4" ht="34" customHeight="1">
      <c r="A4" s="14" t="inlineStr">
        <is>
          <t>N°</t>
        </is>
      </c>
      <c r="B4" s="14" t="inlineStr">
        <is>
          <t>Désignation</t>
        </is>
      </c>
      <c r="C4" s="14" t="inlineStr">
        <is>
          <t>Modèle</t>
        </is>
      </c>
      <c r="D4" s="14" t="inlineStr">
        <is>
          <t>Qté</t>
        </is>
      </c>
      <c r="E4" s="14" t="inlineStr">
        <is>
          <t>PU FOB
(USD)</t>
        </is>
      </c>
      <c r="F4" s="14" t="inlineStr">
        <is>
          <t>FOB total
(USD)</t>
        </is>
      </c>
      <c r="G4" s="14" t="inlineStr">
        <is>
          <t>FOB total
(FCFA)</t>
        </is>
      </c>
      <c r="H4" s="14" t="inlineStr">
        <is>
          <t>Poids
unit. (kg)</t>
        </is>
      </c>
      <c r="I4" s="14" t="inlineStr">
        <is>
          <t>Long.
(m)</t>
        </is>
      </c>
      <c r="J4" s="14" t="inlineStr">
        <is>
          <t>Larg.
(m)</t>
        </is>
      </c>
      <c r="K4" s="14" t="inlineStr">
        <is>
          <t>Haut.
(m)</t>
        </is>
      </c>
      <c r="L4" s="14" t="inlineStr">
        <is>
          <t>Volume unit.
emballé (m³)</t>
        </is>
      </c>
      <c r="M4" s="14" t="inlineStr">
        <is>
          <t>Volume
total (m³)</t>
        </is>
      </c>
      <c r="N4" s="14" t="inlineStr">
        <is>
          <t>Poids total
emballé (kg)</t>
        </is>
      </c>
      <c r="O4" s="14" t="inlineStr">
        <is>
          <t>Part
volume</t>
        </is>
      </c>
      <c r="P4" s="14" t="inlineStr">
        <is>
          <t>Part
valeur</t>
        </is>
      </c>
      <c r="Q4" s="14" t="inlineStr">
        <is>
          <t>Fret + route
réparti (FCFA)</t>
        </is>
      </c>
      <c r="R4" s="14" t="inlineStr">
        <is>
          <t>Assurance
(FCFA)</t>
        </is>
      </c>
      <c r="S4" s="14" t="inlineStr">
        <is>
          <t>VALEUR CAF
(FCFA)</t>
        </is>
      </c>
      <c r="T4" s="14" t="inlineStr">
        <is>
          <t>DD 5 %
(FCFA)</t>
        </is>
      </c>
      <c r="U4" s="14" t="inlineStr">
        <is>
          <t>RS+PCS+PC
(FCFA)</t>
        </is>
      </c>
      <c r="V4" s="14" t="inlineStr">
        <is>
          <t>Total droits
(FCFA)</t>
        </is>
      </c>
      <c r="W4" s="14" t="inlineStr">
        <is>
          <t>Autres frais
logist. (FCFA)</t>
        </is>
      </c>
      <c r="X4" s="14" t="inlineStr">
        <is>
          <t>Sous-total
(FCFA)</t>
        </is>
      </c>
      <c r="Y4" s="14" t="inlineStr">
        <is>
          <t>Provision SAV
(FCFA)</t>
        </is>
      </c>
      <c r="Z4" s="14" t="inlineStr">
        <is>
          <t>REVIENT TOTAL
(FCFA)</t>
        </is>
      </c>
      <c r="AA4" s="14" t="inlineStr">
        <is>
          <t>REVIENT UNIT.
(FCFA)</t>
        </is>
      </c>
      <c r="AB4" s="14" t="inlineStr">
        <is>
          <t>TVA récup.
(FCFA)</t>
        </is>
      </c>
      <c r="AC4" s="14" t="inlineStr">
        <is>
          <t>ISB imput.
(FCFA)</t>
        </is>
      </c>
    </row>
    <row r="5" ht="32" customHeight="1">
      <c r="A5" s="15" t="n">
        <v>1</v>
      </c>
      <c r="B5" s="16" t="inlineStr">
        <is>
          <t>Batteuse multifonction à céréales (riz, mil, sorgho, blé) — moteur diesel 6 CV, 400–600 kg/h, sur roues</t>
        </is>
      </c>
      <c r="C5" s="15" t="inlineStr">
        <is>
          <t>ZNST400</t>
        </is>
      </c>
      <c r="D5" s="17" t="n">
        <v>10</v>
      </c>
      <c r="E5" s="18" t="n">
        <v>435</v>
      </c>
      <c r="F5" s="19">
        <f>D5*E5</f>
        <v/>
      </c>
      <c r="G5" s="20">
        <f>F5*'Hypothèses'!$B$5</f>
        <v/>
      </c>
      <c r="H5" s="21" t="n">
        <v>120</v>
      </c>
      <c r="I5" s="22" t="n">
        <v>1.2</v>
      </c>
      <c r="J5" s="22" t="n">
        <v>0.8</v>
      </c>
      <c r="K5" s="22" t="n">
        <v>1.1</v>
      </c>
      <c r="L5" s="23">
        <f>I5*J5*K5*'Hypothèses'!$B$8</f>
        <v/>
      </c>
      <c r="M5" s="23">
        <f>D5*L5</f>
        <v/>
      </c>
      <c r="N5" s="24">
        <f>D5*H5*'Hypothèses'!$B$9</f>
        <v/>
      </c>
      <c r="O5" s="25">
        <f>M5/$M$9</f>
        <v/>
      </c>
      <c r="P5" s="25">
        <f>G5/$G$9</f>
        <v/>
      </c>
      <c r="Q5" s="20">
        <f>('Hypothèses'!$B$13+'Hypothèses'!$B$16)*O5</f>
        <v/>
      </c>
      <c r="R5" s="20">
        <f>'Hypothèses'!$B$14*($G$9+'Hypothèses'!$B$13)*P5</f>
        <v/>
      </c>
      <c r="S5" s="20">
        <f>G5+Q5+R5</f>
        <v/>
      </c>
      <c r="T5" s="20">
        <f>S5*'Hypothèses'!$B$24</f>
        <v/>
      </c>
      <c r="U5" s="20">
        <f>S5*('Hypothèses'!$B$25+'Hypothèses'!$B$26+'Hypothèses'!$B$27)</f>
        <v/>
      </c>
      <c r="V5" s="20">
        <f>T5+U5</f>
        <v/>
      </c>
      <c r="W5" s="20">
        <f>('Hypothèses'!$B$15+'Hypothèses'!$B$17+'Hypothèses'!$B$20)*O5+('Hypothèses'!$B$18+'Hypothèses'!$B$19)*$G$9*P5</f>
        <v/>
      </c>
      <c r="X5" s="20">
        <f>S5+V5+W5</f>
        <v/>
      </c>
      <c r="Y5" s="20">
        <f>X5*'Hypothèses'!$B$21</f>
        <v/>
      </c>
      <c r="Z5" s="20">
        <f>X5+Y5</f>
        <v/>
      </c>
      <c r="AA5" s="20">
        <f>Z5/D5</f>
        <v/>
      </c>
      <c r="AB5" s="20">
        <f>(S5+V5)*'Hypothèses'!$B$28</f>
        <v/>
      </c>
      <c r="AC5" s="20">
        <f>(S5+V5)*'Hypothèses'!$B$29</f>
        <v/>
      </c>
    </row>
    <row r="6" ht="32" customHeight="1">
      <c r="A6" s="15" t="n">
        <v>2</v>
      </c>
      <c r="B6" s="16" t="inlineStr">
        <is>
          <t>Décortiqueuse d'arachide manuelle — 40–80 kg/h</t>
        </is>
      </c>
      <c r="C6" s="15" t="inlineStr">
        <is>
          <t>ZNPS-1</t>
        </is>
      </c>
      <c r="D6" s="17" t="n">
        <v>10</v>
      </c>
      <c r="E6" s="18" t="n">
        <v>87</v>
      </c>
      <c r="F6" s="19">
        <f>D6*E6</f>
        <v/>
      </c>
      <c r="G6" s="20">
        <f>F6*'Hypothèses'!$B$5</f>
        <v/>
      </c>
      <c r="H6" s="21" t="n">
        <v>25</v>
      </c>
      <c r="I6" s="22" t="n">
        <v>0.68</v>
      </c>
      <c r="J6" s="22" t="n">
        <v>0.35</v>
      </c>
      <c r="K6" s="22" t="n">
        <v>1.15</v>
      </c>
      <c r="L6" s="23">
        <f>I6*J6*K6*'Hypothèses'!$B$8</f>
        <v/>
      </c>
      <c r="M6" s="23">
        <f>D6*L6</f>
        <v/>
      </c>
      <c r="N6" s="24">
        <f>D6*H6*'Hypothèses'!$B$9</f>
        <v/>
      </c>
      <c r="O6" s="25">
        <f>M6/$M$9</f>
        <v/>
      </c>
      <c r="P6" s="25">
        <f>G6/$G$9</f>
        <v/>
      </c>
      <c r="Q6" s="20">
        <f>('Hypothèses'!$B$13+'Hypothèses'!$B$16)*O6</f>
        <v/>
      </c>
      <c r="R6" s="20">
        <f>'Hypothèses'!$B$14*($G$9+'Hypothèses'!$B$13)*P6</f>
        <v/>
      </c>
      <c r="S6" s="20">
        <f>G6+Q6+R6</f>
        <v/>
      </c>
      <c r="T6" s="20">
        <f>S6*'Hypothèses'!$B$24</f>
        <v/>
      </c>
      <c r="U6" s="20">
        <f>S6*('Hypothèses'!$B$25+'Hypothèses'!$B$26+'Hypothèses'!$B$27)</f>
        <v/>
      </c>
      <c r="V6" s="20">
        <f>T6+U6</f>
        <v/>
      </c>
      <c r="W6" s="20">
        <f>('Hypothèses'!$B$15+'Hypothèses'!$B$17+'Hypothèses'!$B$20)*O6+('Hypothèses'!$B$18+'Hypothèses'!$B$19)*$G$9*P6</f>
        <v/>
      </c>
      <c r="X6" s="20">
        <f>S6+V6+W6</f>
        <v/>
      </c>
      <c r="Y6" s="20">
        <f>X6*'Hypothèses'!$B$21</f>
        <v/>
      </c>
      <c r="Z6" s="20">
        <f>X6+Y6</f>
        <v/>
      </c>
      <c r="AA6" s="20">
        <f>Z6/D6</f>
        <v/>
      </c>
      <c r="AB6" s="20">
        <f>(S6+V6)*'Hypothèses'!$B$28</f>
        <v/>
      </c>
      <c r="AC6" s="20">
        <f>(S6+V6)*'Hypothèses'!$B$29</f>
        <v/>
      </c>
    </row>
    <row r="7" ht="32" customHeight="1">
      <c r="A7" s="15" t="n">
        <v>3</v>
      </c>
      <c r="B7" s="16" t="inlineStr">
        <is>
          <t>Broyeur / moulin à céréales et résidus végétaux — moteur diesel 10 CV, cyclone, 200–400 kg/h</t>
        </is>
      </c>
      <c r="C7" s="15" t="inlineStr">
        <is>
          <t>ZNGQ360</t>
        </is>
      </c>
      <c r="D7" s="17" t="n">
        <v>10</v>
      </c>
      <c r="E7" s="18" t="n">
        <v>582</v>
      </c>
      <c r="F7" s="19">
        <f>D7*E7</f>
        <v/>
      </c>
      <c r="G7" s="20">
        <f>F7*'Hypothèses'!$B$5</f>
        <v/>
      </c>
      <c r="H7" s="21" t="n">
        <v>260</v>
      </c>
      <c r="I7" s="22" t="n">
        <v>0.65</v>
      </c>
      <c r="J7" s="22" t="n">
        <v>0.6</v>
      </c>
      <c r="K7" s="22" t="n">
        <v>1.3</v>
      </c>
      <c r="L7" s="23">
        <f>I7*J7*K7*'Hypothèses'!$B$8</f>
        <v/>
      </c>
      <c r="M7" s="23">
        <f>D7*L7</f>
        <v/>
      </c>
      <c r="N7" s="24">
        <f>D7*H7*'Hypothèses'!$B$9</f>
        <v/>
      </c>
      <c r="O7" s="25">
        <f>M7/$M$9</f>
        <v/>
      </c>
      <c r="P7" s="25">
        <f>G7/$G$9</f>
        <v/>
      </c>
      <c r="Q7" s="20">
        <f>('Hypothèses'!$B$13+'Hypothèses'!$B$16)*O7</f>
        <v/>
      </c>
      <c r="R7" s="20">
        <f>'Hypothèses'!$B$14*($G$9+'Hypothèses'!$B$13)*P7</f>
        <v/>
      </c>
      <c r="S7" s="20">
        <f>G7+Q7+R7</f>
        <v/>
      </c>
      <c r="T7" s="20">
        <f>S7*'Hypothèses'!$B$24</f>
        <v/>
      </c>
      <c r="U7" s="20">
        <f>S7*('Hypothèses'!$B$25+'Hypothèses'!$B$26+'Hypothèses'!$B$27)</f>
        <v/>
      </c>
      <c r="V7" s="20">
        <f>T7+U7</f>
        <v/>
      </c>
      <c r="W7" s="20">
        <f>('Hypothèses'!$B$15+'Hypothèses'!$B$17+'Hypothèses'!$B$20)*O7+('Hypothèses'!$B$18+'Hypothèses'!$B$19)*$G$9*P7</f>
        <v/>
      </c>
      <c r="X7" s="20">
        <f>S7+V7+W7</f>
        <v/>
      </c>
      <c r="Y7" s="20">
        <f>X7*'Hypothèses'!$B$21</f>
        <v/>
      </c>
      <c r="Z7" s="20">
        <f>X7+Y7</f>
        <v/>
      </c>
      <c r="AA7" s="20">
        <f>Z7/D7</f>
        <v/>
      </c>
      <c r="AB7" s="20">
        <f>(S7+V7)*'Hypothèses'!$B$28</f>
        <v/>
      </c>
      <c r="AC7" s="20">
        <f>(S7+V7)*'Hypothèses'!$B$29</f>
        <v/>
      </c>
    </row>
    <row r="8" ht="32" customHeight="1">
      <c r="A8" s="15" t="n">
        <v>4</v>
      </c>
      <c r="B8" s="16" t="inlineStr">
        <is>
          <t>Presse à huile motorisée inox (arachide, sésame, soja, tournesol) — électrique 4 kW, 10–30 kg/h</t>
        </is>
      </c>
      <c r="C8" s="15" t="inlineStr">
        <is>
          <t>ZYSS20</t>
        </is>
      </c>
      <c r="D8" s="17" t="n">
        <v>10</v>
      </c>
      <c r="E8" s="18" t="n">
        <v>1035</v>
      </c>
      <c r="F8" s="19">
        <f>D8*E8</f>
        <v/>
      </c>
      <c r="G8" s="20">
        <f>F8*'Hypothèses'!$B$5</f>
        <v/>
      </c>
      <c r="H8" s="21" t="n">
        <v>60</v>
      </c>
      <c r="I8" s="22" t="n">
        <v>0.82</v>
      </c>
      <c r="J8" s="22" t="n">
        <v>0.45</v>
      </c>
      <c r="K8" s="22" t="n">
        <v>1</v>
      </c>
      <c r="L8" s="23">
        <f>I8*J8*K8*'Hypothèses'!$B$8</f>
        <v/>
      </c>
      <c r="M8" s="23">
        <f>D8*L8</f>
        <v/>
      </c>
      <c r="N8" s="24">
        <f>D8*H8*'Hypothèses'!$B$9</f>
        <v/>
      </c>
      <c r="O8" s="25">
        <f>M8/$M$9</f>
        <v/>
      </c>
      <c r="P8" s="25">
        <f>G8/$G$9</f>
        <v/>
      </c>
      <c r="Q8" s="20">
        <f>('Hypothèses'!$B$13+'Hypothèses'!$B$16)*O8</f>
        <v/>
      </c>
      <c r="R8" s="20">
        <f>'Hypothèses'!$B$14*($G$9+'Hypothèses'!$B$13)*P8</f>
        <v/>
      </c>
      <c r="S8" s="20">
        <f>G8+Q8+R8</f>
        <v/>
      </c>
      <c r="T8" s="20">
        <f>S8*'Hypothèses'!$B$24</f>
        <v/>
      </c>
      <c r="U8" s="20">
        <f>S8*('Hypothèses'!$B$25+'Hypothèses'!$B$26+'Hypothèses'!$B$27)</f>
        <v/>
      </c>
      <c r="V8" s="20">
        <f>T8+U8</f>
        <v/>
      </c>
      <c r="W8" s="20">
        <f>('Hypothèses'!$B$15+'Hypothèses'!$B$17+'Hypothèses'!$B$20)*O8+('Hypothèses'!$B$18+'Hypothèses'!$B$19)*$G$9*P8</f>
        <v/>
      </c>
      <c r="X8" s="20">
        <f>S8+V8+W8</f>
        <v/>
      </c>
      <c r="Y8" s="20">
        <f>X8*'Hypothèses'!$B$21</f>
        <v/>
      </c>
      <c r="Z8" s="20">
        <f>X8+Y8</f>
        <v/>
      </c>
      <c r="AA8" s="20">
        <f>Z8/D8</f>
        <v/>
      </c>
      <c r="AB8" s="20">
        <f>(S8+V8)*'Hypothèses'!$B$28</f>
        <v/>
      </c>
      <c r="AC8" s="20">
        <f>(S8+V8)*'Hypothèses'!$B$29</f>
        <v/>
      </c>
    </row>
    <row r="9">
      <c r="A9" s="26" t="n"/>
      <c r="B9" s="26" t="inlineStr">
        <is>
          <t>TOTAL / CONTENEUR 20'</t>
        </is>
      </c>
      <c r="C9" s="26" t="n"/>
      <c r="D9" s="26">
        <f>SUM(D5:D8)</f>
        <v/>
      </c>
      <c r="E9" s="27" t="n"/>
      <c r="F9" s="27">
        <f>SUM(F5:F8)</f>
        <v/>
      </c>
      <c r="G9" s="28">
        <f>SUM(G5:G8)</f>
        <v/>
      </c>
      <c r="H9" s="29" t="n"/>
      <c r="I9" s="30" t="n"/>
      <c r="J9" s="30" t="n"/>
      <c r="K9" s="30" t="n"/>
      <c r="L9" s="30" t="n"/>
      <c r="M9" s="30">
        <f>SUM(M5:M8)</f>
        <v/>
      </c>
      <c r="N9" s="31">
        <f>SUM(N5:N8)</f>
        <v/>
      </c>
      <c r="O9" s="32">
        <f>SUM(O5:O8)</f>
        <v/>
      </c>
      <c r="P9" s="32">
        <f>SUM(P5:P8)</f>
        <v/>
      </c>
      <c r="Q9" s="28">
        <f>SUM(Q5:Q8)</f>
        <v/>
      </c>
      <c r="R9" s="28">
        <f>SUM(R5:R8)</f>
        <v/>
      </c>
      <c r="S9" s="28">
        <f>SUM(S5:S8)</f>
        <v/>
      </c>
      <c r="T9" s="28">
        <f>SUM(T5:T8)</f>
        <v/>
      </c>
      <c r="U9" s="28">
        <f>SUM(U5:U8)</f>
        <v/>
      </c>
      <c r="V9" s="28">
        <f>SUM(V5:V8)</f>
        <v/>
      </c>
      <c r="W9" s="28">
        <f>SUM(W5:W8)</f>
        <v/>
      </c>
      <c r="X9" s="28">
        <f>SUM(X5:X8)</f>
        <v/>
      </c>
      <c r="Y9" s="28">
        <f>SUM(Y5:Y8)</f>
        <v/>
      </c>
      <c r="Z9" s="28">
        <f>SUM(Z5:Z8)</f>
        <v/>
      </c>
      <c r="AA9" s="28" t="n"/>
      <c r="AB9" s="28">
        <f>SUM(AB5:AB8)</f>
        <v/>
      </c>
      <c r="AC9" s="28">
        <f>SUM(AC5:AC8)</f>
        <v/>
      </c>
    </row>
    <row r="11">
      <c r="B11" s="13" t="inlineStr">
        <is>
          <t>LÉGENDE</t>
        </is>
      </c>
    </row>
    <row r="12">
      <c r="B12" s="2" t="inlineStr">
        <is>
          <t>• Bleu = donnée saisie (quantité, prix FOB, poids, dimensions du fournisseur). Noir = calcul automatique.</t>
        </is>
      </c>
    </row>
    <row r="13">
      <c r="B13" s="2" t="inlineStr">
        <is>
          <t>• VALEUR CAF = FOB + fret maritime + transport routier jusqu'à la frontière + assurance : c'est la base de taxation en douane.</t>
        </is>
      </c>
    </row>
    <row r="14">
      <c r="B14" s="2" t="inlineStr">
        <is>
          <t>• PRIX DE REVIENT = CAF + droits et taxes non récupérables + frais logistiques locaux + provision SAV.</t>
        </is>
      </c>
    </row>
    <row r="15">
      <c r="B15" s="2" t="inlineStr">
        <is>
          <t>• TVA et acompte ISB ne sont PAS dans le prix de revient (récupérables), mais doivent être financés à l'enlèvement.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6" customWidth="1" min="4" max="4"/>
    <col width="16" customWidth="1" min="5" max="5"/>
    <col width="15" customWidth="1" min="6" max="6"/>
    <col width="16" customWidth="1" min="7" max="7"/>
    <col width="15" customWidth="1" min="8" max="8"/>
    <col width="16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PRIX DE VENTE ESTIMATIFS — MARCHÉ NIGÉRIEN</t>
        </is>
      </c>
    </row>
    <row r="2">
      <c r="A2" s="2" t="inlineStr">
        <is>
          <t>Prix arrondis au multiple défini en Hypothèses. Le repère de marché est indicatif : à confirmer par un relevé de prix à Niamey.</t>
        </is>
      </c>
    </row>
    <row r="4" ht="34" customHeight="1">
      <c r="A4" s="14" t="inlineStr">
        <is>
          <t>N°</t>
        </is>
      </c>
      <c r="B4" s="14" t="inlineStr">
        <is>
          <t>Désignation</t>
        </is>
      </c>
      <c r="C4" s="14" t="inlineStr">
        <is>
          <t>Modèle</t>
        </is>
      </c>
      <c r="D4" s="14" t="inlineStr">
        <is>
          <t>Qté</t>
        </is>
      </c>
      <c r="E4" s="14" t="inlineStr">
        <is>
          <t>Prix de revient
unitaire (FCFA)</t>
        </is>
      </c>
      <c r="F4" s="14" t="inlineStr">
        <is>
          <t>PV HT PRUDENT
(FCFA)</t>
        </is>
      </c>
      <c r="G4" s="14" t="inlineStr">
        <is>
          <t>PV HT CONSEILLÉ
(FCFA)</t>
        </is>
      </c>
      <c r="H4" s="14" t="inlineStr">
        <is>
          <t>PV HT PREMIUM
(FCFA)</t>
        </is>
      </c>
      <c r="I4" s="14" t="inlineStr">
        <is>
          <t>PV TTC conseillé
(FCFA)</t>
        </is>
      </c>
      <c r="J4" s="14" t="inlineStr">
        <is>
          <t>Marge unitaire
conseillée (FCFA)</t>
        </is>
      </c>
      <c r="K4" s="14" t="inlineStr">
        <is>
          <t>Taux de marge
/ PV HT</t>
        </is>
      </c>
      <c r="L4" s="14" t="inlineStr">
        <is>
          <t>Repère marché
Afr. Ouest (FCFA)</t>
        </is>
      </c>
      <c r="M4" s="14" t="inlineStr">
        <is>
          <t>Position vs
marché</t>
        </is>
      </c>
      <c r="N4" s="14" t="inlineStr">
        <is>
          <t>CA HT conseillé
sur 10 unités</t>
        </is>
      </c>
      <c r="O4" s="14" t="inlineStr">
        <is>
          <t>Marge brute
sur 10 unités</t>
        </is>
      </c>
    </row>
    <row r="5" ht="30" customHeight="1">
      <c r="A5" s="33" t="n">
        <v>1</v>
      </c>
      <c r="B5" s="34" t="inlineStr">
        <is>
          <t>Batteuse multifonction à céréales — diesel 6 CV</t>
        </is>
      </c>
      <c r="C5" s="35">
        <f>'Prix de revient'!C5</f>
        <v/>
      </c>
      <c r="D5" s="35">
        <f>'Prix de revient'!D5</f>
        <v/>
      </c>
      <c r="E5" s="36">
        <f>'Prix de revient'!AA5</f>
        <v/>
      </c>
      <c r="F5" s="37">
        <f>ROUND(E5*'Hypothèses'!$B$32/'Hypothèses'!$B$35,0)*'Hypothèses'!$B$35</f>
        <v/>
      </c>
      <c r="G5" s="37">
        <f>ROUND(E5*'Hypothèses'!$B$33/'Hypothèses'!$B$35,0)*'Hypothèses'!$B$35</f>
        <v/>
      </c>
      <c r="H5" s="37">
        <f>ROUND(E5*'Hypothèses'!$B$34/'Hypothèses'!$B$35,0)*'Hypothèses'!$B$35</f>
        <v/>
      </c>
      <c r="I5" s="37">
        <f>G5*(1+'Hypothèses'!$B$28)</f>
        <v/>
      </c>
      <c r="J5" s="37">
        <f>G5-E5</f>
        <v/>
      </c>
      <c r="K5" s="38">
        <f>IF(G5=0,0,(G5-E5)/G5)</f>
        <v/>
      </c>
      <c r="L5" s="39" t="n">
        <v>950000</v>
      </c>
      <c r="M5" s="38">
        <f>IF(L5=0,0,G5/L5-1)</f>
        <v/>
      </c>
      <c r="N5" s="37">
        <f>D5*G5</f>
        <v/>
      </c>
      <c r="O5" s="37">
        <f>D5*(G5-E5)</f>
        <v/>
      </c>
    </row>
    <row r="6" ht="30" customHeight="1">
      <c r="A6" s="33" t="n">
        <v>2</v>
      </c>
      <c r="B6" s="34" t="inlineStr">
        <is>
          <t>Décortiqueuse d'arachide manuelle</t>
        </is>
      </c>
      <c r="C6" s="35">
        <f>'Prix de revient'!C6</f>
        <v/>
      </c>
      <c r="D6" s="35">
        <f>'Prix de revient'!D6</f>
        <v/>
      </c>
      <c r="E6" s="36">
        <f>'Prix de revient'!AA6</f>
        <v/>
      </c>
      <c r="F6" s="37">
        <f>ROUND(E6*'Hypothèses'!$B$32/'Hypothèses'!$B$35,0)*'Hypothèses'!$B$35</f>
        <v/>
      </c>
      <c r="G6" s="37">
        <f>ROUND(E6*'Hypothèses'!$B$33/'Hypothèses'!$B$35,0)*'Hypothèses'!$B$35</f>
        <v/>
      </c>
      <c r="H6" s="37">
        <f>ROUND(E6*'Hypothèses'!$B$34/'Hypothèses'!$B$35,0)*'Hypothèses'!$B$35</f>
        <v/>
      </c>
      <c r="I6" s="37">
        <f>G6*(1+'Hypothèses'!$B$28)</f>
        <v/>
      </c>
      <c r="J6" s="37">
        <f>G6-E6</f>
        <v/>
      </c>
      <c r="K6" s="38">
        <f>IF(G6=0,0,(G6-E6)/G6)</f>
        <v/>
      </c>
      <c r="L6" s="39" t="n">
        <v>200000</v>
      </c>
      <c r="M6" s="38">
        <f>IF(L6=0,0,G6/L6-1)</f>
        <v/>
      </c>
      <c r="N6" s="37">
        <f>D6*G6</f>
        <v/>
      </c>
      <c r="O6" s="37">
        <f>D6*(G6-E6)</f>
        <v/>
      </c>
    </row>
    <row r="7" ht="30" customHeight="1">
      <c r="A7" s="33" t="n">
        <v>3</v>
      </c>
      <c r="B7" s="34" t="inlineStr">
        <is>
          <t>Broyeur / moulin à céréales — diesel 10 CV</t>
        </is>
      </c>
      <c r="C7" s="35">
        <f>'Prix de revient'!C7</f>
        <v/>
      </c>
      <c r="D7" s="35">
        <f>'Prix de revient'!D7</f>
        <v/>
      </c>
      <c r="E7" s="36">
        <f>'Prix de revient'!AA7</f>
        <v/>
      </c>
      <c r="F7" s="37">
        <f>ROUND(E7*'Hypothèses'!$B$32/'Hypothèses'!$B$35,0)*'Hypothèses'!$B$35</f>
        <v/>
      </c>
      <c r="G7" s="37">
        <f>ROUND(E7*'Hypothèses'!$B$33/'Hypothèses'!$B$35,0)*'Hypothèses'!$B$35</f>
        <v/>
      </c>
      <c r="H7" s="37">
        <f>ROUND(E7*'Hypothèses'!$B$34/'Hypothèses'!$B$35,0)*'Hypothèses'!$B$35</f>
        <v/>
      </c>
      <c r="I7" s="37">
        <f>G7*(1+'Hypothèses'!$B$28)</f>
        <v/>
      </c>
      <c r="J7" s="37">
        <f>G7-E7</f>
        <v/>
      </c>
      <c r="K7" s="38">
        <f>IF(G7=0,0,(G7-E7)/G7)</f>
        <v/>
      </c>
      <c r="L7" s="39" t="n">
        <v>850000</v>
      </c>
      <c r="M7" s="38">
        <f>IF(L7=0,0,G7/L7-1)</f>
        <v/>
      </c>
      <c r="N7" s="37">
        <f>D7*G7</f>
        <v/>
      </c>
      <c r="O7" s="37">
        <f>D7*(G7-E7)</f>
        <v/>
      </c>
    </row>
    <row r="8" ht="30" customHeight="1">
      <c r="A8" s="33" t="n">
        <v>4</v>
      </c>
      <c r="B8" s="34" t="inlineStr">
        <is>
          <t>Presse à huile motorisée inox — 4 kW</t>
        </is>
      </c>
      <c r="C8" s="35">
        <f>'Prix de revient'!C8</f>
        <v/>
      </c>
      <c r="D8" s="35">
        <f>'Prix de revient'!D8</f>
        <v/>
      </c>
      <c r="E8" s="36">
        <f>'Prix de revient'!AA8</f>
        <v/>
      </c>
      <c r="F8" s="37">
        <f>ROUND(E8*'Hypothèses'!$B$32/'Hypothèses'!$B$35,0)*'Hypothèses'!$B$35</f>
        <v/>
      </c>
      <c r="G8" s="37">
        <f>ROUND(E8*'Hypothèses'!$B$33/'Hypothèses'!$B$35,0)*'Hypothèses'!$B$35</f>
        <v/>
      </c>
      <c r="H8" s="37">
        <f>ROUND(E8*'Hypothèses'!$B$34/'Hypothèses'!$B$35,0)*'Hypothèses'!$B$35</f>
        <v/>
      </c>
      <c r="I8" s="37">
        <f>G8*(1+'Hypothèses'!$B$28)</f>
        <v/>
      </c>
      <c r="J8" s="37">
        <f>G8-E8</f>
        <v/>
      </c>
      <c r="K8" s="38">
        <f>IF(G8=0,0,(G8-E8)/G8)</f>
        <v/>
      </c>
      <c r="L8" s="39" t="n">
        <v>1300000</v>
      </c>
      <c r="M8" s="38">
        <f>IF(L8=0,0,G8/L8-1)</f>
        <v/>
      </c>
      <c r="N8" s="37">
        <f>D8*G8</f>
        <v/>
      </c>
      <c r="O8" s="37">
        <f>D8*(G8-E8)</f>
        <v/>
      </c>
    </row>
    <row r="9">
      <c r="A9" s="26" t="n"/>
      <c r="B9" s="26" t="inlineStr">
        <is>
          <t>TOTAL</t>
        </is>
      </c>
      <c r="C9" s="26" t="n"/>
      <c r="D9" s="26">
        <f>SUM(D5:D8)</f>
        <v/>
      </c>
      <c r="E9" s="28" t="n"/>
      <c r="F9" s="28" t="n"/>
      <c r="G9" s="28" t="n"/>
      <c r="H9" s="28" t="n"/>
      <c r="I9" s="28" t="n"/>
      <c r="J9" s="28" t="n"/>
      <c r="K9" s="32">
        <f>IF(N9=0,0,O9/N9)</f>
        <v/>
      </c>
      <c r="L9" s="28" t="n"/>
      <c r="M9" s="32" t="n"/>
      <c r="N9" s="28">
        <f>SUM(N5:N8)</f>
        <v/>
      </c>
      <c r="O9" s="28">
        <f>SUM(O5:O8)</f>
        <v/>
      </c>
    </row>
    <row r="11">
      <c r="B11" s="13" t="inlineStr">
        <is>
          <t>LECTURE</t>
        </is>
      </c>
    </row>
    <row r="12">
      <c r="B12" s="2" t="inlineStr">
        <is>
          <t>• PV HT PRUDENT : prix d'attaque pour un appel d'offres ou une vente en lot.</t>
        </is>
      </c>
    </row>
    <row r="13">
      <c r="B13" s="2" t="inlineStr">
        <is>
          <t>• PV HT CONSEILLÉ : prix de référence catalogue, cohérent avec les prix pratiqués en Afrique de l'Ouest.</t>
        </is>
      </c>
    </row>
    <row r="14">
      <c r="B14" s="2" t="inlineStr">
        <is>
          <t>• PV HT PREMIUM : vente à l'unité avec livraison, mise en service, formation et SAV.</t>
        </is>
      </c>
    </row>
    <row r="15">
      <c r="B15" s="2" t="inlineStr">
        <is>
          <t>• Position vs marché : écart du prix conseillé par rapport au repère de marché (négatif = moins cher que le marché).</t>
        </is>
      </c>
    </row>
    <row r="16">
      <c r="B16" s="2" t="inlineStr">
        <is>
          <t>• Repère marché (jaune) : à mettre à jour après relevé des prix pratiqués à Niamey.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2" customWidth="1" min="3" max="3"/>
  </cols>
  <sheetData>
    <row r="1">
      <c r="A1" s="1" t="inlineStr">
        <is>
          <t>SYNTHÈSE DE L'OPÉRATION — 1 CONTENEUR 20' / 40 MACHINES</t>
        </is>
      </c>
    </row>
    <row r="3">
      <c r="A3" s="13" t="inlineStr">
        <is>
          <t>A. DÉCAISSEMENTS</t>
        </is>
      </c>
    </row>
    <row r="4">
      <c r="A4" s="5" t="inlineStr">
        <is>
          <t>Achat marchandise FOB Qingdao</t>
        </is>
      </c>
      <c r="B4" s="10">
        <f>'Prix de revient'!G9</f>
        <v/>
      </c>
      <c r="C4" s="7" t="inlineStr">
        <is>
          <t>50 % d'acompte à la commande, solde avant expédition.</t>
        </is>
      </c>
    </row>
    <row r="5">
      <c r="A5" s="5" t="inlineStr">
        <is>
          <t>Fret, assurance, transport et frais logistiques</t>
        </is>
      </c>
      <c r="B5" s="10">
        <f>'Prix de revient'!Q9+'Prix de revient'!R9+'Prix de revient'!W9</f>
        <v/>
      </c>
      <c r="C5" s="7" t="inlineStr"/>
    </row>
    <row r="6">
      <c r="A6" s="5" t="inlineStr">
        <is>
          <t>Droits et taxes de douane (non récupérables)</t>
        </is>
      </c>
      <c r="B6" s="10">
        <f>'Prix de revient'!V9</f>
        <v/>
      </c>
      <c r="C6" s="7" t="inlineStr">
        <is>
          <t>DD + RS + PCS + PC sur la valeur CAF.</t>
        </is>
      </c>
    </row>
    <row r="7">
      <c r="A7" s="5" t="inlineStr">
        <is>
          <t>Provision SAV et garantie</t>
        </is>
      </c>
      <c r="B7" s="10">
        <f>'Prix de revient'!Y9</f>
        <v/>
      </c>
      <c r="C7" s="7" t="inlineStr"/>
    </row>
    <row r="8">
      <c r="A8" s="40" t="inlineStr">
        <is>
          <t>PRIX DE REVIENT TOTAL HT (rendu magasin Niamey)</t>
        </is>
      </c>
      <c r="B8" s="41">
        <f>'Prix de revient'!Z9</f>
        <v/>
      </c>
      <c r="C8" s="42" t="inlineStr">
        <is>
          <t>Base de calcul des prix de vente.</t>
        </is>
      </c>
    </row>
    <row r="9">
      <c r="A9" s="5" t="inlineStr">
        <is>
          <t>TVA à l'import (récupérable)</t>
        </is>
      </c>
      <c r="B9" s="10">
        <f>'Prix de revient'!AB9</f>
        <v/>
      </c>
      <c r="C9" s="7" t="inlineStr">
        <is>
          <t>Récupérée sur la TVA collectée à la vente.</t>
        </is>
      </c>
    </row>
    <row r="10">
      <c r="A10" s="5" t="inlineStr">
        <is>
          <t>Acompte ISB 2 % (imputable)</t>
        </is>
      </c>
      <c r="B10" s="10">
        <f>'Prix de revient'!AC9</f>
        <v/>
      </c>
      <c r="C10" s="7" t="inlineStr">
        <is>
          <t>Imputable sur l'impôt sur les bénéfices.</t>
        </is>
      </c>
    </row>
    <row r="11">
      <c r="A11" s="43" t="inlineStr">
        <is>
          <t>TRÉSORERIE À MOBILISER (toutes taxes comprises)</t>
        </is>
      </c>
      <c r="B11" s="44">
        <f>B8+B9+B10</f>
        <v/>
      </c>
      <c r="C11" s="45" t="inlineStr">
        <is>
          <t>Montant réellement à financer jusqu'à la revente.</t>
        </is>
      </c>
    </row>
    <row r="13">
      <c r="A13" s="13" t="inlineStr">
        <is>
          <t>B. CHIFFRE D'AFFAIRES ET MARGE (40 machines vendues)</t>
        </is>
      </c>
    </row>
    <row r="14">
      <c r="A14" s="5" t="inlineStr">
        <is>
          <t>Chiffre d'affaires HT — scénario PRUDENT</t>
        </is>
      </c>
      <c r="B14" s="10">
        <f>SUMPRODUCT('Prix de vente'!D5:D8,'Prix de vente'!F5:F8)</f>
        <v/>
      </c>
      <c r="C14" s="7" t="inlineStr"/>
    </row>
    <row r="15">
      <c r="A15" s="46" t="inlineStr">
        <is>
          <t>Chiffre d'affaires HT — scénario CONSEILLÉ</t>
        </is>
      </c>
      <c r="B15" s="47">
        <f>SUMPRODUCT('Prix de vente'!D5:D8,'Prix de vente'!G5:G8)</f>
        <v/>
      </c>
      <c r="C15" s="7" t="inlineStr"/>
    </row>
    <row r="16">
      <c r="A16" s="5" t="inlineStr">
        <is>
          <t>Chiffre d'affaires HT — scénario PREMIUM</t>
        </is>
      </c>
      <c r="B16" s="10">
        <f>SUMPRODUCT('Prix de vente'!D5:D8,'Prix de vente'!H5:H8)</f>
        <v/>
      </c>
      <c r="C16" s="7" t="inlineStr"/>
    </row>
    <row r="17">
      <c r="A17" s="5" t="inlineStr">
        <is>
          <t>Marge brute — scénario PRUDENT</t>
        </is>
      </c>
      <c r="B17" s="10">
        <f>B14-B8</f>
        <v/>
      </c>
      <c r="C17" s="7" t="inlineStr"/>
    </row>
    <row r="18">
      <c r="A18" s="40" t="inlineStr">
        <is>
          <t>Marge brute — scénario CONSEILLÉ</t>
        </is>
      </c>
      <c r="B18" s="41">
        <f>B15-B8</f>
        <v/>
      </c>
      <c r="C18" s="42" t="inlineStr"/>
    </row>
    <row r="19">
      <c r="A19" s="5" t="inlineStr">
        <is>
          <t>Marge brute — scénario PREMIUM</t>
        </is>
      </c>
      <c r="B19" s="10">
        <f>B16-B8</f>
        <v/>
      </c>
      <c r="C19" s="7" t="inlineStr"/>
    </row>
    <row r="20">
      <c r="A20" s="5" t="inlineStr">
        <is>
          <t>Taux de marge sur CA — scénario CONSEILLÉ</t>
        </is>
      </c>
      <c r="B20" s="48">
        <f>IF(B15=0,0,B18/B15)</f>
        <v/>
      </c>
      <c r="C20" s="7" t="inlineStr"/>
    </row>
    <row r="21">
      <c r="A21" s="5" t="inlineStr">
        <is>
          <t>Rentabilité de l'investissement — scénario CONSEILLÉ</t>
        </is>
      </c>
      <c r="B21" s="48">
        <f>IF(B8=0,0,B18/B8)</f>
        <v/>
      </c>
      <c r="C21" s="7" t="inlineStr">
        <is>
          <t>Marge brute rapportée au prix de revient engagé.</t>
        </is>
      </c>
    </row>
    <row r="23">
      <c r="A23" s="13" t="inlineStr">
        <is>
          <t>C. LOGISTIQUE DE L'OPÉRATION</t>
        </is>
      </c>
    </row>
    <row r="24">
      <c r="A24" s="5" t="inlineStr">
        <is>
          <t>Volume total emballé</t>
        </is>
      </c>
      <c r="B24" s="49">
        <f>'Prix de revient'!M9</f>
        <v/>
      </c>
      <c r="C24" s="7" t="inlineStr">
        <is>
          <t>Conteneur 20' : ~33 m³ — chargement possible.</t>
        </is>
      </c>
    </row>
    <row r="25">
      <c r="A25" s="5" t="inlineStr">
        <is>
          <t>Poids total emballé (kg)</t>
        </is>
      </c>
      <c r="B25" s="50">
        <f>'Prix de revient'!N9</f>
        <v/>
      </c>
      <c r="C25" s="7" t="inlineStr">
        <is>
          <t>Conteneur 20' : 28 t de charge utile.</t>
        </is>
      </c>
    </row>
    <row r="26">
      <c r="A26" s="5" t="inlineStr">
        <is>
          <t>Nombre de machines</t>
        </is>
      </c>
      <c r="B26" s="50">
        <f>'Prix de revient'!D9</f>
        <v/>
      </c>
      <c r="C26" s="7" t="inlineStr">
        <is>
          <t>4 modèles × 10 unités (MOQ du fournisseur).</t>
        </is>
      </c>
    </row>
    <row r="28">
      <c r="A28" s="13" t="inlineStr">
        <is>
          <t>D. DÉLAI PRÉVISIONNEL</t>
        </is>
      </c>
    </row>
    <row r="29">
      <c r="A29" s="5" t="inlineStr">
        <is>
          <t>Fabrication après paiement de l'acompte</t>
        </is>
      </c>
      <c r="B29" s="51" t="inlineStr">
        <is>
          <t>15 jours</t>
        </is>
      </c>
    </row>
    <row r="30">
      <c r="A30" s="5" t="inlineStr">
        <is>
          <t>Transport maritime Qingdao → Lomé</t>
        </is>
      </c>
      <c r="B30" s="51" t="inlineStr">
        <is>
          <t>40 à 45 jours</t>
        </is>
      </c>
    </row>
    <row r="31">
      <c r="A31" s="5" t="inlineStr">
        <is>
          <t>Déchargement, transit et route Lomé → Niamey</t>
        </is>
      </c>
      <c r="B31" s="51" t="inlineStr">
        <is>
          <t>12 à 18 jours</t>
        </is>
      </c>
    </row>
    <row r="32">
      <c r="A32" s="5" t="inlineStr">
        <is>
          <t>Dédouanement et mise en magasin à Niamey</t>
        </is>
      </c>
      <c r="B32" s="51" t="inlineStr">
        <is>
          <t>5 à 8 jours</t>
        </is>
      </c>
    </row>
    <row r="33">
      <c r="A33" s="46" t="inlineStr">
        <is>
          <t>DÉLAI TOTAL ESTIMÉ</t>
        </is>
      </c>
      <c r="B33" s="52" t="inlineStr">
        <is>
          <t>environ 75 à 90 jours</t>
        </is>
      </c>
    </row>
    <row r="35">
      <c r="A35" s="13" t="inlineStr">
        <is>
          <t>E. POINTS À VÉRIFIER AVANT ENGAGEMENT</t>
        </is>
      </c>
    </row>
    <row r="36">
      <c r="A36" s="53" t="inlineStr">
        <is>
          <t>• Classement tarifaire exact (SH) de chaque machine et catégorie du TEC : confirmer le taux de 5 % auprès du transitaire.</t>
        </is>
      </c>
    </row>
    <row r="37">
      <c r="A37" s="53" t="inlineStr">
        <is>
          <t>• Existence d'une exonération ou d'un régime de faveur pour le matériel agricole (Code des investissements, projets financés).</t>
        </is>
      </c>
    </row>
    <row r="38">
      <c r="A38" s="53" t="inlineStr">
        <is>
          <t>• Cotation ferme du transitaire : fret maritime, frais portuaires de Lomé, transport routier, transit et dédouanement.</t>
        </is>
      </c>
    </row>
    <row r="39">
      <c r="A39" s="53" t="inlineStr">
        <is>
          <t>• Coût réel du transfert bancaire et disponibilité des devises pour l'acompte de 50 %.</t>
        </is>
      </c>
    </row>
    <row r="40">
      <c r="A40" s="53" t="inlineStr">
        <is>
          <t>• Relevé des prix réellement pratiqués à Niamey pour ces quatre familles de machines.</t>
        </is>
      </c>
    </row>
    <row r="41">
      <c r="A41" s="53" t="inlineStr">
        <is>
          <t>• Disponibilité des pièces d'usure (tamis, courroies, marteaux, vis de presse) : à commander avec la machine.</t>
        </is>
      </c>
    </row>
    <row r="42">
      <c r="A42" s="53" t="inlineStr">
        <is>
          <t>• Norme électrique de la presse à huile (4 kW) : vérifier la compatibilité 220 V / 380 V avec le réseau du client.</t>
        </is>
      </c>
    </row>
  </sheetData>
  <mergeCells count="7">
    <mergeCell ref="A42:C42"/>
    <mergeCell ref="A41:C41"/>
    <mergeCell ref="A36:C36"/>
    <mergeCell ref="A37:C37"/>
    <mergeCell ref="A40:C40"/>
    <mergeCell ref="A39:C39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2026-08-19T07:18:24Z</dcterms:created>
  <dcterms:modified xmlns:dcterms="http://purl.org/dc/terms/" xmlns:xsi="http://www.w3.org/2001/XMLSchema-instance" xsi:type="dcterms:W3CDTF">2026-08-19T07:18:24Z</dcterms:modified>
</cp:coreProperties>
</file>